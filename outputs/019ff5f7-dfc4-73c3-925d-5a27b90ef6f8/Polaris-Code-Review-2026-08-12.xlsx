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Polaris\outputs\019ff5f7-dfc4-73c3-925d-5a27b90ef6f8\"/>
    </mc:Choice>
  </mc:AlternateContent>
  <xr:revisionPtr revIDLastSave="0" documentId="13_ncr:1_{12E3A65B-9A9E-4262-8D0D-0105DC1C9ED3}" xr6:coauthVersionLast="47" xr6:coauthVersionMax="47" xr10:uidLastSave="{00000000-0000-0000-0000-000000000000}"/>
  <bookViews>
    <workbookView xWindow="38280" yWindow="-120" windowWidth="19440" windowHeight="11040" activeTab="1" xr2:uid="{00000000-000D-0000-FFFF-FFFF00000000}"/>
  </bookViews>
  <sheets>
    <sheet name="审查摘要" sheetId="1" r:id="rId1"/>
    <sheet name="问题清单" sheetId="2" r:id="rId2"/>
    <sheet name="验证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</calcChain>
</file>

<file path=xl/sharedStrings.xml><?xml version="1.0" encoding="utf-8"?>
<sst xmlns="http://schemas.openxmlformats.org/spreadsheetml/2006/main" count="230" uniqueCount="157">
  <si>
    <t>Polaris 全项目代码审查摘要</t>
  </si>
  <si>
    <t>审查日期：2026-08-12｜范围：232 个 C# 文件，约 22,744 行｜结论：普通构建通过，但存在 2 项 P0 和 7 项 P1</t>
  </si>
  <si>
    <t>指标</t>
  </si>
  <si>
    <t>P0 严重</t>
  </si>
  <si>
    <t>P1 高</t>
  </si>
  <si>
    <t>P2 中</t>
  </si>
  <si>
    <t>P3 低</t>
  </si>
  <si>
    <t>已完成</t>
  </si>
  <si>
    <t>数量</t>
  </si>
  <si>
    <t>推荐修复顺序</t>
  </si>
  <si>
    <t>说明</t>
  </si>
  <si>
    <t>优先级定义</t>
  </si>
  <si>
    <t>1</t>
  </si>
  <si>
    <t>先修事件路径逃逸，避免事件脚本写出目标目录。</t>
  </si>
  <si>
    <t>P0：可能越界写文件、破坏核心状态或形成严重安全问题</t>
  </si>
  <si>
    <t>2</t>
  </si>
  <si>
    <t>再修 PUI 异常回滚、热重载超时与管道健壮性。</t>
  </si>
  <si>
    <t>P1：高概率运行时错误、资源泄漏或行为与返回结果不一致</t>
  </si>
  <si>
    <t>3</t>
  </si>
  <si>
    <t>处理资源缓存线程安全和导入配置缓存串值。</t>
  </si>
  <si>
    <t>P2：公共契约、测试与长期维护风险</t>
  </si>
  <si>
    <t>4</t>
  </si>
  <si>
    <t>修复主菜单原子性、WAV 边界和事件隔离。</t>
  </si>
  <si>
    <t>P3：文档、仓库和体验问题</t>
  </si>
  <si>
    <t>5</t>
  </si>
  <si>
    <t>最后补 Nullable、测试、CI、依赖锁定和文档。</t>
  </si>
  <si>
    <t>使用方式：在“问题清单”中按优先级筛选，修改“状态/负责人/备注”；摘要中的完成数量会自动更新。</t>
  </si>
  <si>
    <t>Polaris 代码问题清单</t>
  </si>
  <si>
    <t>可直接筛选和维护。状态可选：待处理 / 处理中 / 已完成 / 暂不处理。文件位置均相对于 E:\Projects\Polaris。</t>
  </si>
  <si>
    <t>编号</t>
  </si>
  <si>
    <t>优先级</t>
  </si>
  <si>
    <t>模块</t>
  </si>
  <si>
    <t>文件位置</t>
  </si>
  <si>
    <t>问题</t>
  </si>
  <si>
    <t>可能影响</t>
  </si>
  <si>
    <t>建议修改</t>
  </si>
  <si>
    <t>状态</t>
  </si>
  <si>
    <t>负责人</t>
  </si>
  <si>
    <t>备注</t>
  </si>
  <si>
    <t>P0</t>
  </si>
  <si>
    <t>事件系统</t>
  </si>
  <si>
    <t>事件 Namespace、LogicalId 只检查非空，随后直接参与 Path.Combine。</t>
  </si>
  <si>
    <t>../ 或绝对路径可能让 .cmd 写出 EventsDir，覆盖进程有权限访问的文件。</t>
  </si>
  <si>
    <t>限制为安全路径段；GetFullPath 后确认最终路径仍位于 EventsDir。</t>
  </si>
  <si>
    <t>待处理</t>
  </si>
  <si>
    <t>PUI 生命周期</t>
  </si>
  <si>
    <t>PUI/PUIRuntime.cs:141,203</t>
  </si>
  <si>
    <t>PUI 构建、激活和销毁过程没有异常回滚。</t>
  </si>
  <si>
    <t>BuildUI/activate/destruct 抛出后会留下半初始化 GameObject；再次 Show 可能重复创建并泄漏。</t>
  </si>
  <si>
    <t>使用局部变量或 staging 构建，成功后再提交字段；失败时 finally 清理并恢复状态。</t>
  </si>
  <si>
    <t>P1</t>
  </si>
  <si>
    <t>PUI 热重载</t>
  </si>
  <si>
    <t>PUI/HotReload/PuiHotReloadPump.cs:36</t>
  </si>
  <si>
    <t>等待超时后请求仍留在队列，且 ManualResetEventSlim 未显式释放。</t>
  </si>
  <si>
    <t>客户端收到失败，但主线程恢复后修改仍可能延迟生效，形成幽灵更新。</t>
  </si>
  <si>
    <t>增加取消状态；超时后禁止执行；请求完成或取消后释放等待对象。</t>
  </si>
  <si>
    <t>资源缓存</t>
  </si>
  <si>
    <t>Res/Core/Lease.cs:58; Res/Core/ResourceCache.cs:36</t>
  </si>
  <si>
    <t>公开的 Lease.Dispose 可在任意线程调用，却直接修改主线程专用缓存并调用 Unity 销毁 API。</t>
  </si>
  <si>
    <t>后台释放可能导致字典竞争、引用计数错误或 Unity 线程异常。</t>
  </si>
  <si>
    <t>检测主线程；非主线程释放统一投递 MainThreadDispatcher。</t>
  </si>
  <si>
    <t>导入设置</t>
  </si>
  <si>
    <t>Res/Import/ImportMetaResolver.cs:41,77</t>
  </si>
  <si>
    <t>导入设置缓存键只有文件或目录路径，没有 mountRoot。</t>
  </si>
  <si>
    <t>同一物理文件经不同挂载根加载时可能继承错误的 _import.json，并跨模组串值。</t>
  </si>
  <si>
    <t>缓存键改为 (mountRoot, directory/file)，并使用规范化路径比较器。</t>
  </si>
  <si>
    <t>主菜单 API</t>
  </si>
  <si>
    <t>MainMenuAPI.cs:46,66</t>
  </si>
  <si>
    <t>按钮增删不是原子操作，缺少名称、回调和重复键的前置验证。</t>
  </si>
  <si>
    <t>重复添加会先污染列表再抛异常；删除可能实际成功却返回 false；关联配置残留。</t>
  </si>
  <si>
    <t>先完整验证再提交；删除时清理所有关联字典，并明确返回值语义。</t>
  </si>
  <si>
    <t>音频解析</t>
  </si>
  <si>
    <t>Res/Loaders/WavParser.cs:47</t>
  </si>
  <si>
    <t>fmt 块即使被截断，仍固定读取至少 16 字节。</t>
  </si>
  <si>
    <t>畸形 WAV 会抛 IndexOutOfRangeException，破坏 ResourceLoadException 契约。</t>
  </si>
  <si>
    <t>读取前验证 chunkSize &gt;= 16，并检查声道、采样率及数值转换溢出。</t>
  </si>
  <si>
    <t>热重载协议</t>
  </si>
  <si>
    <t>PUI/HotReload/PuiWireReader.cs:23; PuiHotReloadServer.cs:61</t>
  </si>
  <si>
    <t>管道协议没有命令数、数组和字符串长度限制，也没有读取超时；Stop 不检查 Join 是否成功。</t>
  </si>
  <si>
    <t>本地错误客户端可触发巨大分配或永久占住服务线程，旧线程可能仍存活。</t>
  </si>
  <si>
    <t>设置协议上限和读取超时；验证 opcode；仅在线程真正退出后清空引用。</t>
  </si>
  <si>
    <t>PUI/PUIManager.cs:25,216</t>
  </si>
  <si>
    <t>hotReloadInstances 永久强引用运行时，销毁后不移除。</t>
  </si>
  <si>
    <t>动态创建和销毁的 Runtime、Handler 及关联对象无法回收。</t>
  </si>
  <si>
    <t>Destroy 时反注册，或改存 WeakReference 并定期清理。</t>
  </si>
  <si>
    <t>P2</t>
  </si>
  <si>
    <t>事件派发</t>
  </si>
  <si>
    <t>MainMenuAPI.cs:249; Settings/SettingDefinition.cs:102; PUI/Graph/PUISolution.cs:228</t>
  </si>
  <si>
    <t>多个多播事件直接使用一次 ?.Invoke()。</t>
  </si>
  <si>
    <t>前一个订阅者抛异常时，后续订阅者全部收不到事件，可能阻断 ESC 或状态变化处理。</t>
  </si>
  <si>
    <t>遍历 GetInvocationList，逐订阅者 try/catch 并记录责任程序集。</t>
  </si>
  <si>
    <t>资源 API</t>
  </si>
  <si>
    <t>Res/Api/IResourceLease.cs:15; Res/Core/Lease.cs:13</t>
  </si>
  <si>
    <t>公共 API 承诺 Version 和 Reloaded，但当前版本永不递增、事件永不触发。</t>
  </si>
  <si>
    <t>下游模组按照公开契约等待热重载时永远不会收到通知。</t>
  </si>
  <si>
    <t>2.0 发布前完整实现，或暂时移除这两个公共成员。</t>
  </si>
  <si>
    <t>类型契约</t>
  </si>
  <si>
    <t>Polaris.csproj:4</t>
  </si>
  <si>
    <t>项目未启用 Nullable，但公共 API 广泛使用 null 表示状态。</t>
  </si>
  <si>
    <t>开启检查后有 607 条独立警告，调用方也无法得到准确空值契约。</t>
  </si>
  <si>
    <t>先标注公共 API，再按模块逐步启用 &lt;Nullable&gt;enable&lt;/Nullable&gt;。</t>
  </si>
  <si>
    <t>测试与 CI</t>
  </si>
  <si>
    <t>Polaris.slnx:1</t>
  </si>
  <si>
    <t>解决方案只有一个生产项目，没有测试项目，也没有 CI 工作流。</t>
  </si>
  <si>
    <t>路径沙箱、解析器、缓存、状态机和回调契约只能依赖游戏内人工验证。</t>
  </si>
  <si>
    <t>为纯逻辑模块补单元测试，并增加 build/test CI。</t>
  </si>
  <si>
    <t>构建复现</t>
  </si>
  <si>
    <t>Polaris.csproj:70</t>
  </si>
  <si>
    <t>多个依赖使用通配版本，同时没有 packages.lock.json、global.json 或包源映射。</t>
  </si>
  <si>
    <t>同一提交在不同时间可能解析到不同 SDK 或依赖，甚至从不同源取得同名包。</t>
  </si>
  <si>
    <t>固定依赖和 SDK 版本，提交 lock file，配置 packageSourceMapping。</t>
  </si>
  <si>
    <t>P3</t>
  </si>
  <si>
    <t>文档契约</t>
  </si>
  <si>
    <t>README.md:83; Res/Mounts/ResourceKindExtensions.cs:11</t>
  </si>
  <si>
    <t>README 和 ResourceKind 宣称支持 MP3，实际加载器只支持 WAV/OGG。</t>
  </si>
  <si>
    <t>模组作者按文档提供 MP3 后必然加载失败。</t>
  </si>
  <si>
    <t>删除 MP3 宣称，或实现并测试 MP3 解码。</t>
  </si>
  <si>
    <t>仓库治理</t>
  </si>
  <si>
    <t>outputs/; Polaris.csproj:30</t>
  </si>
  <si>
    <t>仓库跟踪了 101 个生成或分析产物，项目文件还需专门排除这些文件。</t>
  </si>
  <si>
    <t>仓库膨胀、审查噪声增加，并容易再次把第三方源码混入编译。</t>
  </si>
  <si>
    <t>忽略 outputs；需长期保存的规范移动到 docs/specs 等明确目录。</t>
  </si>
  <si>
    <t>API 文档</t>
  </si>
  <si>
    <t>Api/Game/Callbacks/GameCallbackKinds.cs:4 等</t>
  </si>
  <si>
    <t>生成 XML 文档时有 35 条注释警告，包括无效 cref、歧义引用和缺失 param。</t>
  </si>
  <si>
    <t>IDE/API 文档链接失效，使用者看到的参数说明不完整。</t>
  </si>
  <si>
    <t>修复文档警告，并把文档生成验证加入 CI。</t>
  </si>
  <si>
    <t>审查验证记录</t>
  </si>
  <si>
    <t>检查项</t>
  </si>
  <si>
    <t>结果</t>
  </si>
  <si>
    <t>数量/状态</t>
  </si>
  <si>
    <t>普通构建</t>
  </si>
  <si>
    <t>通过</t>
  </si>
  <si>
    <t>0 警告 / 0 错误</t>
  </si>
  <si>
    <t>dotnet build Polaris.slnx --no-restore</t>
  </si>
  <si>
    <t>Nullable 强制检查</t>
  </si>
  <si>
    <t>需整改</t>
  </si>
  <si>
    <t>独立警告数；公共 API 和运行时层均存在空值契约缺口</t>
  </si>
  <si>
    <t>全部 .NET 分析器</t>
  </si>
  <si>
    <t>需筛选</t>
  </si>
  <si>
    <t>独立警告数；大量 CA1031 来自刻意的插件异常隔离，不宜机械清零</t>
  </si>
  <si>
    <t>XML 文档生成</t>
  </si>
  <si>
    <t>无效/歧义 cref 及缺失 param</t>
  </si>
  <si>
    <t>测试项目</t>
  </si>
  <si>
    <t>缺失</t>
  </si>
  <si>
    <t>未发现 *Tests*.csproj 或测试源码</t>
  </si>
  <si>
    <t>CI 工作流</t>
  </si>
  <si>
    <t>未发现 GitHub Actions 或其它 CI 配置</t>
  </si>
  <si>
    <t>工作区源码修改</t>
  </si>
  <si>
    <t>无</t>
  </si>
  <si>
    <t>只读审查</t>
  </si>
  <si>
    <t>现有删除：polaris-game-api-v2-migration.md；本次未改源码</t>
  </si>
  <si>
    <t>Event/PolarisEventRuntime.cs:47; Event/PolarisEventId.cs:11</t>
    <phoneticPr fontId="12" type="noConversion"/>
  </si>
  <si>
    <t>/</t>
    <phoneticPr fontId="12" type="noConversion"/>
  </si>
  <si>
    <t>检测非法名称/命名空间直接报错</t>
    <phoneticPr fontId="12" type="noConversion"/>
  </si>
  <si>
    <t>构建失败则立即拆除，让调用方null异常</t>
    <phoneticPr fontId="12" type="noConversion"/>
  </si>
  <si>
    <t>超时后显式调用释放与队列弹出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</si>
</sst>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b/>
      <sz val="18"/>
      <color rgb="FFFFFFFF"/>
      <name val="Microsoft YaHei"/>
      <family val="2"/>
      <charset val="134"/>
    </font>
    <font>
      <i/>
      <sz val="11"/>
      <color rgb="FF1F2937"/>
      <name val="Microsoft YaHei"/>
      <family val="2"/>
      <charset val="134"/>
    </font>
    <font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1F2937"/>
      <name val="Microsoft YaHei"/>
      <family val="2"/>
      <charset val="134"/>
    </font>
    <font>
      <sz val="11"/>
      <color rgb="FF1F2937"/>
      <name val="Microsoft YaHei"/>
      <family val="2"/>
      <charset val="134"/>
    </font>
    <font>
      <sz val="11"/>
      <color rgb="FF6B4F00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1F7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F3F6F8"/>
      </patternFill>
    </fill>
    <fill>
      <patternFill patternType="solid">
        <fgColor rgb="FFFFF4CC"/>
      </patternFill>
    </fill>
  </fills>
  <borders count="9">
    <border>
      <left/>
      <right/>
      <top/>
      <bottom/>
      <diagonal/>
    </border>
    <border>
      <left style="thin">
        <color rgb="FFCCD5DD"/>
      </left>
      <right/>
      <top style="thin">
        <color rgb="FFCCD5DD"/>
      </top>
      <bottom style="thin">
        <color rgb="FFCCD5DD"/>
      </bottom>
      <diagonal/>
    </border>
    <border>
      <left/>
      <right/>
      <top style="thin">
        <color rgb="FFCCD5DD"/>
      </top>
      <bottom style="thin">
        <color rgb="FFCCD5DD"/>
      </bottom>
      <diagonal/>
    </border>
    <border>
      <left/>
      <right style="thin">
        <color rgb="FFCCD5DD"/>
      </right>
      <top style="thin">
        <color rgb="FFCCD5DD"/>
      </top>
      <bottom style="thin">
        <color rgb="FFCCD5DD"/>
      </bottom>
      <diagonal/>
    </border>
    <border>
      <left/>
      <right/>
      <top/>
      <bottom style="thin">
        <color rgb="FFCCD5DD"/>
      </bottom>
      <diagonal/>
    </border>
    <border>
      <left/>
      <right/>
      <top style="thin">
        <color rgb="FFCCD5DD"/>
      </top>
      <bottom/>
      <diagonal/>
    </border>
    <border>
      <left/>
      <right/>
      <top/>
      <bottom style="thin">
        <color rgb="FFE1E7EC"/>
      </bottom>
      <diagonal/>
    </border>
    <border>
      <left/>
      <right/>
      <top style="thin">
        <color rgb="FFE1E7EC"/>
      </top>
      <bottom style="thin">
        <color rgb="FFE1E7EC"/>
      </bottom>
      <diagonal/>
    </border>
    <border>
      <left/>
      <right/>
      <top style="thin">
        <color rgb="FFE1E7EC"/>
      </top>
      <bottom/>
      <diagonal/>
    </border>
  </borders>
  <cellStyleXfs count="2">
    <xf numFmtId="0" fontId="0" fillId="0" borderId="0"/>
    <xf numFmtId="0" fontId="11" fillId="0" borderId="0"/>
  </cellStyleXfs>
  <cellXfs count="29">
    <xf numFmtId="0" fontId="0" fillId="0" borderId="0" xfId="0"/>
    <xf numFmtId="0" fontId="5" fillId="0" borderId="0" xfId="1" applyFont="1"/>
    <xf numFmtId="0" fontId="6" fillId="4" borderId="0" xfId="1" applyFont="1" applyFill="1" applyAlignment="1">
      <alignment horizontal="center"/>
    </xf>
    <xf numFmtId="0" fontId="7" fillId="5" borderId="1" xfId="1" applyFont="1" applyFill="1" applyBorder="1" applyAlignment="1">
      <alignment horizontal="center"/>
    </xf>
    <xf numFmtId="1" fontId="7" fillId="5" borderId="2" xfId="1" applyNumberFormat="1" applyFont="1" applyFill="1" applyBorder="1" applyAlignment="1">
      <alignment horizontal="center"/>
    </xf>
    <xf numFmtId="1" fontId="7" fillId="5" borderId="3" xfId="1" applyNumberFormat="1" applyFont="1" applyFill="1" applyBorder="1" applyAlignment="1">
      <alignment horizontal="center"/>
    </xf>
    <xf numFmtId="0" fontId="6" fillId="4" borderId="0" xfId="1" applyFont="1" applyFill="1"/>
    <xf numFmtId="0" fontId="8" fillId="6" borderId="4" xfId="1" applyFont="1" applyFill="1" applyBorder="1" applyAlignment="1">
      <alignment wrapText="1"/>
    </xf>
    <xf numFmtId="0" fontId="8" fillId="6" borderId="2" xfId="1" applyFont="1" applyFill="1" applyBorder="1" applyAlignment="1">
      <alignment wrapText="1"/>
    </xf>
    <xf numFmtId="0" fontId="8" fillId="6" borderId="5" xfId="1" applyFont="1" applyFill="1" applyBorder="1" applyAlignment="1">
      <alignment wrapText="1"/>
    </xf>
    <xf numFmtId="0" fontId="6" fillId="4" borderId="0" xfId="1" applyFont="1" applyFill="1" applyAlignment="1">
      <alignment horizontal="center" vertical="center"/>
    </xf>
    <xf numFmtId="0" fontId="10" fillId="0" borderId="6" xfId="1" applyFont="1" applyBorder="1" applyAlignment="1">
      <alignment horizontal="center" vertical="top" wrapText="1"/>
    </xf>
    <xf numFmtId="0" fontId="10" fillId="0" borderId="6" xfId="1" applyFont="1" applyBorder="1" applyAlignment="1">
      <alignment vertical="top" wrapText="1"/>
    </xf>
    <xf numFmtId="0" fontId="10" fillId="0" borderId="7" xfId="1" applyFont="1" applyBorder="1" applyAlignment="1">
      <alignment horizontal="center" vertical="top" wrapText="1"/>
    </xf>
    <xf numFmtId="0" fontId="10" fillId="0" borderId="7" xfId="1" applyFont="1" applyBorder="1" applyAlignment="1">
      <alignment vertical="top" wrapText="1"/>
    </xf>
    <xf numFmtId="0" fontId="10" fillId="0" borderId="8" xfId="1" applyFont="1" applyBorder="1" applyAlignment="1">
      <alignment horizontal="center" vertical="top" wrapText="1"/>
    </xf>
    <xf numFmtId="0" fontId="10" fillId="0" borderId="8" xfId="1" applyFont="1" applyBorder="1" applyAlignment="1">
      <alignment vertical="top" wrapText="1"/>
    </xf>
    <xf numFmtId="0" fontId="8" fillId="0" borderId="4" xfId="1" applyFont="1" applyBorder="1" applyAlignment="1">
      <alignment vertical="top" wrapText="1"/>
    </xf>
    <xf numFmtId="0" fontId="8" fillId="0" borderId="2" xfId="1" applyFont="1" applyBorder="1" applyAlignment="1">
      <alignment vertical="top" wrapText="1"/>
    </xf>
    <xf numFmtId="0" fontId="8" fillId="0" borderId="5" xfId="1" applyFont="1" applyBorder="1" applyAlignment="1">
      <alignment vertical="top" wrapText="1"/>
    </xf>
    <xf numFmtId="0" fontId="3" fillId="2" borderId="0" xfId="1" applyFont="1" applyFill="1" applyAlignment="1">
      <alignment horizontal="left" vertical="center"/>
    </xf>
    <xf numFmtId="0" fontId="4" fillId="3" borderId="0" xfId="1" applyFont="1" applyFill="1" applyAlignment="1">
      <alignment wrapText="1"/>
    </xf>
    <xf numFmtId="0" fontId="6" fillId="4" borderId="0" xfId="1" applyFont="1" applyFill="1"/>
    <xf numFmtId="0" fontId="8" fillId="6" borderId="4" xfId="1" applyFont="1" applyFill="1" applyBorder="1" applyAlignment="1">
      <alignment wrapText="1"/>
    </xf>
    <xf numFmtId="0" fontId="8" fillId="6" borderId="2" xfId="1" applyFont="1" applyFill="1" applyBorder="1" applyAlignment="1">
      <alignment wrapText="1"/>
    </xf>
    <xf numFmtId="0" fontId="8" fillId="6" borderId="5" xfId="1" applyFont="1" applyFill="1" applyBorder="1" applyAlignment="1">
      <alignment wrapText="1"/>
    </xf>
    <xf numFmtId="0" fontId="9" fillId="7" borderId="0" xfId="1" applyFont="1" applyFill="1" applyAlignment="1">
      <alignment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9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8CBAD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1F4E78"/>
      </font>
      <fill>
        <patternFill patternType="solid">
          <bgColor rgb="FFDDEBF7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C65911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eReviewIssues" displayName="CodeReviewIssues" ref="A4:J21" totalsRowShown="0">
  <tableColumns count="10">
    <tableColumn id="1" xr3:uid="{00000000-0010-0000-0000-000001000000}" name="编号"/>
    <tableColumn id="2" xr3:uid="{00000000-0010-0000-0000-000002000000}" name="优先级"/>
    <tableColumn id="3" xr3:uid="{00000000-0010-0000-0000-000003000000}" name="模块"/>
    <tableColumn id="4" xr3:uid="{00000000-0010-0000-0000-000004000000}" name="文件位置"/>
    <tableColumn id="5" xr3:uid="{00000000-0010-0000-0000-000005000000}" name="问题"/>
    <tableColumn id="6" xr3:uid="{00000000-0010-0000-0000-000006000000}" name="可能影响"/>
    <tableColumn id="7" xr3:uid="{00000000-0010-0000-0000-000007000000}" name="建议修改"/>
    <tableColumn id="8" xr3:uid="{00000000-0010-0000-0000-000008000000}" name="状态"/>
    <tableColumn id="9" xr3:uid="{00000000-0010-0000-0000-000009000000}" name="负责人"/>
    <tableColumn id="10" xr3:uid="{00000000-0010-0000-0000-00000A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opLeftCell="A11" workbookViewId="0">
      <selection sqref="A1:F1"/>
    </sheetView>
  </sheetViews>
  <sheetFormatPr defaultRowHeight="14"/>
  <cols>
    <col min="1" max="1" width="18" customWidth="1"/>
    <col min="2" max="2" width="50" customWidth="1"/>
    <col min="3" max="3" width="13" customWidth="1"/>
    <col min="4" max="6" width="18" customWidth="1"/>
  </cols>
  <sheetData>
    <row r="1" spans="1:6" ht="34" customHeight="1">
      <c r="A1" s="20" t="s">
        <v>0</v>
      </c>
      <c r="B1" s="20" t="s">
        <v>0</v>
      </c>
      <c r="C1" s="20" t="s">
        <v>0</v>
      </c>
      <c r="D1" s="20" t="s">
        <v>0</v>
      </c>
      <c r="E1" s="20" t="s">
        <v>0</v>
      </c>
      <c r="F1" s="20" t="s">
        <v>0</v>
      </c>
    </row>
    <row r="2" spans="1:6" ht="30" customHeight="1">
      <c r="A2" s="21" t="s">
        <v>1</v>
      </c>
      <c r="B2" s="21" t="s">
        <v>1</v>
      </c>
      <c r="C2" s="21" t="s">
        <v>1</v>
      </c>
      <c r="D2" s="21" t="s">
        <v>1</v>
      </c>
      <c r="E2" s="21" t="s">
        <v>1</v>
      </c>
      <c r="F2" s="21" t="s">
        <v>1</v>
      </c>
    </row>
    <row r="3" spans="1:6" ht="16.5">
      <c r="A3" s="1"/>
      <c r="B3" s="1"/>
      <c r="C3" s="1"/>
      <c r="D3" s="1"/>
      <c r="E3" s="1"/>
      <c r="F3" s="1"/>
    </row>
    <row r="4" spans="1:6" ht="16.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ht="16.5">
      <c r="A5" s="3" t="s">
        <v>8</v>
      </c>
      <c r="B5" s="4">
        <f>COUNTIF(问题清单!$B$5:$B$21,"P0")</f>
        <v>2</v>
      </c>
      <c r="C5" s="4">
        <f>COUNTIF(问题清单!$B$5:$B$21,"P1")</f>
        <v>7</v>
      </c>
      <c r="D5" s="4">
        <f>COUNTIF(问题清单!$B$5:$B$21,"P2")</f>
        <v>5</v>
      </c>
      <c r="E5" s="4">
        <f>COUNTIF(问题清单!$B$5:$B$21,"P3")</f>
        <v>3</v>
      </c>
      <c r="F5" s="5">
        <f>COUNTIF(问题清单!$H$5:$H$21,"已完成")</f>
        <v>3</v>
      </c>
    </row>
    <row r="6" spans="1:6" ht="16.5">
      <c r="A6" s="1"/>
      <c r="B6" s="1"/>
      <c r="C6" s="1"/>
      <c r="D6" s="1"/>
      <c r="E6" s="1"/>
      <c r="F6" s="1"/>
    </row>
    <row r="7" spans="1:6" ht="28" customHeight="1">
      <c r="A7" s="6" t="s">
        <v>9</v>
      </c>
      <c r="B7" s="6" t="s">
        <v>10</v>
      </c>
      <c r="C7" s="1"/>
      <c r="D7" s="22" t="s">
        <v>11</v>
      </c>
      <c r="E7" s="22" t="s">
        <v>11</v>
      </c>
      <c r="F7" s="22" t="s">
        <v>11</v>
      </c>
    </row>
    <row r="8" spans="1:6" ht="31" customHeight="1">
      <c r="A8" s="7" t="s">
        <v>12</v>
      </c>
      <c r="B8" s="7" t="s">
        <v>13</v>
      </c>
      <c r="C8" s="1"/>
      <c r="D8" s="23" t="s">
        <v>14</v>
      </c>
      <c r="E8" s="23"/>
      <c r="F8" s="23"/>
    </row>
    <row r="9" spans="1:6" ht="31" customHeight="1">
      <c r="A9" s="8" t="s">
        <v>15</v>
      </c>
      <c r="B9" s="8" t="s">
        <v>16</v>
      </c>
      <c r="C9" s="1"/>
      <c r="D9" s="24" t="s">
        <v>17</v>
      </c>
      <c r="E9" s="24"/>
      <c r="F9" s="24"/>
    </row>
    <row r="10" spans="1:6" ht="31" customHeight="1">
      <c r="A10" s="8" t="s">
        <v>18</v>
      </c>
      <c r="B10" s="8" t="s">
        <v>19</v>
      </c>
      <c r="C10" s="1"/>
      <c r="D10" s="24" t="s">
        <v>20</v>
      </c>
      <c r="E10" s="24"/>
      <c r="F10" s="24"/>
    </row>
    <row r="11" spans="1:6" ht="31" customHeight="1">
      <c r="A11" s="8" t="s">
        <v>21</v>
      </c>
      <c r="B11" s="8" t="s">
        <v>22</v>
      </c>
      <c r="C11" s="1"/>
      <c r="D11" s="25" t="s">
        <v>23</v>
      </c>
      <c r="E11" s="25"/>
      <c r="F11" s="25"/>
    </row>
    <row r="12" spans="1:6" ht="28" customHeight="1">
      <c r="A12" s="9" t="s">
        <v>24</v>
      </c>
      <c r="B12" s="9" t="s">
        <v>25</v>
      </c>
      <c r="C12" s="1"/>
      <c r="D12" s="1"/>
      <c r="E12" s="1"/>
      <c r="F12" s="1"/>
    </row>
    <row r="13" spans="1:6" ht="16.5">
      <c r="A13" s="1"/>
      <c r="B13" s="1"/>
      <c r="C13" s="1"/>
      <c r="D13" s="1"/>
      <c r="E13" s="1"/>
      <c r="F13" s="1"/>
    </row>
    <row r="14" spans="1:6" ht="30" customHeight="1">
      <c r="A14" s="26" t="s">
        <v>26</v>
      </c>
      <c r="B14" s="26" t="s">
        <v>26</v>
      </c>
      <c r="C14" s="26" t="s">
        <v>26</v>
      </c>
      <c r="D14" s="26" t="s">
        <v>26</v>
      </c>
      <c r="E14" s="26" t="s">
        <v>26</v>
      </c>
      <c r="F14" s="26" t="s">
        <v>26</v>
      </c>
    </row>
  </sheetData>
  <mergeCells count="8">
    <mergeCell ref="D10:F10"/>
    <mergeCell ref="D11:F11"/>
    <mergeCell ref="A14:F14"/>
    <mergeCell ref="A1:F1"/>
    <mergeCell ref="A2:F2"/>
    <mergeCell ref="D7:F7"/>
    <mergeCell ref="D8:F8"/>
    <mergeCell ref="D9:F9"/>
  </mergeCells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showGridLines="0" tabSelected="1" topLeftCell="A13" workbookViewId="0">
      <selection activeCell="J8" sqref="J8"/>
    </sheetView>
  </sheetViews>
  <sheetFormatPr defaultRowHeight="14"/>
  <cols>
    <col min="1" max="1" width="7" customWidth="1"/>
    <col min="2" max="2" width="9" customWidth="1"/>
    <col min="3" max="3" width="15" customWidth="1"/>
    <col min="4" max="4" width="38" customWidth="1"/>
    <col min="5" max="5" width="48" customWidth="1"/>
    <col min="6" max="6" width="44" customWidth="1"/>
    <col min="7" max="7" width="47" customWidth="1"/>
    <col min="8" max="8" width="12" customWidth="1"/>
    <col min="9" max="9" width="13" customWidth="1"/>
    <col min="10" max="10" width="30" customWidth="1"/>
  </cols>
  <sheetData>
    <row r="1" spans="1:10" ht="34" customHeight="1">
      <c r="A1" s="27" t="s">
        <v>27</v>
      </c>
      <c r="B1" s="27" t="s">
        <v>27</v>
      </c>
      <c r="C1" s="27" t="s">
        <v>27</v>
      </c>
      <c r="D1" s="27" t="s">
        <v>27</v>
      </c>
      <c r="E1" s="27" t="s">
        <v>27</v>
      </c>
      <c r="F1" s="27" t="s">
        <v>27</v>
      </c>
      <c r="G1" s="27" t="s">
        <v>27</v>
      </c>
      <c r="H1" s="27" t="s">
        <v>27</v>
      </c>
      <c r="I1" s="27" t="s">
        <v>27</v>
      </c>
      <c r="J1" s="27" t="s">
        <v>27</v>
      </c>
    </row>
    <row r="2" spans="1:10" ht="14.5">
      <c r="A2" s="28" t="s">
        <v>28</v>
      </c>
      <c r="B2" s="28" t="s">
        <v>28</v>
      </c>
      <c r="C2" s="28" t="s">
        <v>28</v>
      </c>
      <c r="D2" s="28" t="s">
        <v>28</v>
      </c>
      <c r="E2" s="28" t="s">
        <v>28</v>
      </c>
      <c r="F2" s="28" t="s">
        <v>28</v>
      </c>
      <c r="G2" s="28" t="s">
        <v>28</v>
      </c>
      <c r="H2" s="28" t="s">
        <v>28</v>
      </c>
      <c r="I2" s="28" t="s">
        <v>28</v>
      </c>
      <c r="J2" s="28" t="s">
        <v>28</v>
      </c>
    </row>
    <row r="4" spans="1:10" ht="28" customHeight="1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ht="58" customHeight="1">
      <c r="A5" s="11">
        <v>1</v>
      </c>
      <c r="B5" s="11" t="s">
        <v>39</v>
      </c>
      <c r="C5" s="12" t="s">
        <v>40</v>
      </c>
      <c r="D5" s="12" t="s">
        <v>152</v>
      </c>
      <c r="E5" s="12" t="s">
        <v>41</v>
      </c>
      <c r="F5" s="12" t="s">
        <v>42</v>
      </c>
      <c r="G5" s="12" t="s">
        <v>43</v>
      </c>
      <c r="H5" s="11" t="s">
        <v>7</v>
      </c>
      <c r="I5" s="11" t="s">
        <v>153</v>
      </c>
      <c r="J5" s="12" t="s">
        <v>154</v>
      </c>
    </row>
    <row r="6" spans="1:10" ht="58" customHeight="1">
      <c r="A6" s="13">
        <v>2</v>
      </c>
      <c r="B6" s="13" t="s">
        <v>39</v>
      </c>
      <c r="C6" s="14" t="s">
        <v>45</v>
      </c>
      <c r="D6" s="14" t="s">
        <v>46</v>
      </c>
      <c r="E6" s="14" t="s">
        <v>47</v>
      </c>
      <c r="F6" s="14" t="s">
        <v>48</v>
      </c>
      <c r="G6" s="14" t="s">
        <v>49</v>
      </c>
      <c r="H6" s="13" t="s">
        <v>7</v>
      </c>
      <c r="I6" s="13" t="s">
        <v>153</v>
      </c>
      <c r="J6" s="14" t="s">
        <v>155</v>
      </c>
    </row>
    <row r="7" spans="1:10" ht="58" customHeight="1">
      <c r="A7" s="13">
        <v>3</v>
      </c>
      <c r="B7" s="13" t="s">
        <v>50</v>
      </c>
      <c r="C7" s="14" t="s">
        <v>51</v>
      </c>
      <c r="D7" s="14" t="s">
        <v>52</v>
      </c>
      <c r="E7" s="14" t="s">
        <v>53</v>
      </c>
      <c r="F7" s="14" t="s">
        <v>54</v>
      </c>
      <c r="G7" s="14" t="s">
        <v>55</v>
      </c>
      <c r="H7" s="13" t="s">
        <v>7</v>
      </c>
      <c r="I7" s="13" t="s">
        <v>153</v>
      </c>
      <c r="J7" s="14" t="s">
        <v>156</v>
      </c>
    </row>
    <row r="8" spans="1:10" ht="58" customHeight="1">
      <c r="A8" s="13">
        <v>4</v>
      </c>
      <c r="B8" s="13" t="s">
        <v>50</v>
      </c>
      <c r="C8" s="14" t="s">
        <v>56</v>
      </c>
      <c r="D8" s="14" t="s">
        <v>57</v>
      </c>
      <c r="E8" s="14" t="s">
        <v>58</v>
      </c>
      <c r="F8" s="14" t="s">
        <v>59</v>
      </c>
      <c r="G8" s="14" t="s">
        <v>60</v>
      </c>
      <c r="H8" s="13" t="s">
        <v>44</v>
      </c>
      <c r="I8" s="13">
        <v>0</v>
      </c>
      <c r="J8" s="14"/>
    </row>
    <row r="9" spans="1:10" ht="58" customHeight="1">
      <c r="A9" s="13">
        <v>5</v>
      </c>
      <c r="B9" s="13" t="s">
        <v>50</v>
      </c>
      <c r="C9" s="14" t="s">
        <v>61</v>
      </c>
      <c r="D9" s="14" t="s">
        <v>62</v>
      </c>
      <c r="E9" s="14" t="s">
        <v>63</v>
      </c>
      <c r="F9" s="14" t="s">
        <v>64</v>
      </c>
      <c r="G9" s="14" t="s">
        <v>65</v>
      </c>
      <c r="H9" s="13" t="s">
        <v>44</v>
      </c>
      <c r="I9" s="13"/>
      <c r="J9" s="14"/>
    </row>
    <row r="10" spans="1:10" ht="58" customHeight="1">
      <c r="A10" s="13">
        <v>6</v>
      </c>
      <c r="B10" s="13" t="s">
        <v>50</v>
      </c>
      <c r="C10" s="14" t="s">
        <v>66</v>
      </c>
      <c r="D10" s="14" t="s">
        <v>67</v>
      </c>
      <c r="E10" s="14" t="s">
        <v>68</v>
      </c>
      <c r="F10" s="14" t="s">
        <v>69</v>
      </c>
      <c r="G10" s="14" t="s">
        <v>70</v>
      </c>
      <c r="H10" s="13" t="s">
        <v>44</v>
      </c>
      <c r="I10" s="13"/>
      <c r="J10" s="14"/>
    </row>
    <row r="11" spans="1:10" ht="58" customHeight="1">
      <c r="A11" s="13">
        <v>7</v>
      </c>
      <c r="B11" s="13" t="s">
        <v>50</v>
      </c>
      <c r="C11" s="14" t="s">
        <v>71</v>
      </c>
      <c r="D11" s="14" t="s">
        <v>72</v>
      </c>
      <c r="E11" s="14" t="s">
        <v>73</v>
      </c>
      <c r="F11" s="14" t="s">
        <v>74</v>
      </c>
      <c r="G11" s="14" t="s">
        <v>75</v>
      </c>
      <c r="H11" s="13" t="s">
        <v>44</v>
      </c>
      <c r="I11" s="13"/>
      <c r="J11" s="14"/>
    </row>
    <row r="12" spans="1:10" ht="58" customHeight="1">
      <c r="A12" s="13">
        <v>8</v>
      </c>
      <c r="B12" s="13" t="s">
        <v>50</v>
      </c>
      <c r="C12" s="14" t="s">
        <v>76</v>
      </c>
      <c r="D12" s="14" t="s">
        <v>77</v>
      </c>
      <c r="E12" s="14" t="s">
        <v>78</v>
      </c>
      <c r="F12" s="14" t="s">
        <v>79</v>
      </c>
      <c r="G12" s="14" t="s">
        <v>80</v>
      </c>
      <c r="H12" s="13" t="s">
        <v>44</v>
      </c>
      <c r="I12" s="13"/>
      <c r="J12" s="14"/>
    </row>
    <row r="13" spans="1:10" ht="58" customHeight="1">
      <c r="A13" s="13">
        <v>9</v>
      </c>
      <c r="B13" s="13" t="s">
        <v>50</v>
      </c>
      <c r="C13" s="14" t="s">
        <v>51</v>
      </c>
      <c r="D13" s="14" t="s">
        <v>81</v>
      </c>
      <c r="E13" s="14" t="s">
        <v>82</v>
      </c>
      <c r="F13" s="14" t="s">
        <v>83</v>
      </c>
      <c r="G13" s="14" t="s">
        <v>84</v>
      </c>
      <c r="H13" s="13" t="s">
        <v>44</v>
      </c>
      <c r="I13" s="13"/>
      <c r="J13" s="14"/>
    </row>
    <row r="14" spans="1:10" ht="58" customHeight="1">
      <c r="A14" s="13">
        <v>10</v>
      </c>
      <c r="B14" s="13" t="s">
        <v>85</v>
      </c>
      <c r="C14" s="14" t="s">
        <v>86</v>
      </c>
      <c r="D14" s="14" t="s">
        <v>87</v>
      </c>
      <c r="E14" s="14" t="s">
        <v>88</v>
      </c>
      <c r="F14" s="14" t="s">
        <v>89</v>
      </c>
      <c r="G14" s="14" t="s">
        <v>90</v>
      </c>
      <c r="H14" s="13" t="s">
        <v>44</v>
      </c>
      <c r="I14" s="13"/>
      <c r="J14" s="14"/>
    </row>
    <row r="15" spans="1:10" ht="58" customHeight="1">
      <c r="A15" s="13">
        <v>11</v>
      </c>
      <c r="B15" s="13" t="s">
        <v>85</v>
      </c>
      <c r="C15" s="14" t="s">
        <v>91</v>
      </c>
      <c r="D15" s="14" t="s">
        <v>92</v>
      </c>
      <c r="E15" s="14" t="s">
        <v>93</v>
      </c>
      <c r="F15" s="14" t="s">
        <v>94</v>
      </c>
      <c r="G15" s="14" t="s">
        <v>95</v>
      </c>
      <c r="H15" s="13" t="s">
        <v>44</v>
      </c>
      <c r="I15" s="13"/>
      <c r="J15" s="14"/>
    </row>
    <row r="16" spans="1:10" ht="58" customHeight="1">
      <c r="A16" s="13">
        <v>12</v>
      </c>
      <c r="B16" s="13" t="s">
        <v>85</v>
      </c>
      <c r="C16" s="14" t="s">
        <v>96</v>
      </c>
      <c r="D16" s="14" t="s">
        <v>97</v>
      </c>
      <c r="E16" s="14" t="s">
        <v>98</v>
      </c>
      <c r="F16" s="14" t="s">
        <v>99</v>
      </c>
      <c r="G16" s="14" t="s">
        <v>100</v>
      </c>
      <c r="H16" s="13" t="s">
        <v>44</v>
      </c>
      <c r="I16" s="13"/>
      <c r="J16" s="14"/>
    </row>
    <row r="17" spans="1:10" ht="58" customHeight="1">
      <c r="A17" s="13">
        <v>13</v>
      </c>
      <c r="B17" s="13" t="s">
        <v>85</v>
      </c>
      <c r="C17" s="14" t="s">
        <v>101</v>
      </c>
      <c r="D17" s="14" t="s">
        <v>102</v>
      </c>
      <c r="E17" s="14" t="s">
        <v>103</v>
      </c>
      <c r="F17" s="14" t="s">
        <v>104</v>
      </c>
      <c r="G17" s="14" t="s">
        <v>105</v>
      </c>
      <c r="H17" s="13" t="s">
        <v>44</v>
      </c>
      <c r="I17" s="13"/>
      <c r="J17" s="14"/>
    </row>
    <row r="18" spans="1:10" ht="58" customHeight="1">
      <c r="A18" s="13">
        <v>14</v>
      </c>
      <c r="B18" s="13" t="s">
        <v>85</v>
      </c>
      <c r="C18" s="14" t="s">
        <v>106</v>
      </c>
      <c r="D18" s="14" t="s">
        <v>107</v>
      </c>
      <c r="E18" s="14" t="s">
        <v>108</v>
      </c>
      <c r="F18" s="14" t="s">
        <v>109</v>
      </c>
      <c r="G18" s="14" t="s">
        <v>110</v>
      </c>
      <c r="H18" s="13" t="s">
        <v>44</v>
      </c>
      <c r="I18" s="13"/>
      <c r="J18" s="14"/>
    </row>
    <row r="19" spans="1:10" ht="58" customHeight="1">
      <c r="A19" s="13">
        <v>15</v>
      </c>
      <c r="B19" s="13" t="s">
        <v>111</v>
      </c>
      <c r="C19" s="14" t="s">
        <v>112</v>
      </c>
      <c r="D19" s="14" t="s">
        <v>113</v>
      </c>
      <c r="E19" s="14" t="s">
        <v>114</v>
      </c>
      <c r="F19" s="14" t="s">
        <v>115</v>
      </c>
      <c r="G19" s="14" t="s">
        <v>116</v>
      </c>
      <c r="H19" s="13" t="s">
        <v>44</v>
      </c>
      <c r="I19" s="13"/>
      <c r="J19" s="14"/>
    </row>
    <row r="20" spans="1:10" ht="58" customHeight="1">
      <c r="A20" s="13">
        <v>16</v>
      </c>
      <c r="B20" s="13" t="s">
        <v>111</v>
      </c>
      <c r="C20" s="14" t="s">
        <v>117</v>
      </c>
      <c r="D20" s="14" t="s">
        <v>118</v>
      </c>
      <c r="E20" s="14" t="s">
        <v>119</v>
      </c>
      <c r="F20" s="14" t="s">
        <v>120</v>
      </c>
      <c r="G20" s="14" t="s">
        <v>121</v>
      </c>
      <c r="H20" s="13" t="s">
        <v>44</v>
      </c>
      <c r="I20" s="13"/>
      <c r="J20" s="14"/>
    </row>
    <row r="21" spans="1:10" ht="58" customHeight="1">
      <c r="A21" s="15">
        <v>17</v>
      </c>
      <c r="B21" s="15" t="s">
        <v>111</v>
      </c>
      <c r="C21" s="16" t="s">
        <v>122</v>
      </c>
      <c r="D21" s="16" t="s">
        <v>123</v>
      </c>
      <c r="E21" s="16" t="s">
        <v>124</v>
      </c>
      <c r="F21" s="16" t="s">
        <v>125</v>
      </c>
      <c r="G21" s="16" t="s">
        <v>126</v>
      </c>
      <c r="H21" s="15" t="s">
        <v>44</v>
      </c>
      <c r="I21" s="15"/>
      <c r="J21" s="16"/>
    </row>
  </sheetData>
  <mergeCells count="2">
    <mergeCell ref="A1:J1"/>
    <mergeCell ref="A2:J2"/>
  </mergeCells>
  <phoneticPr fontId="12" type="noConversion"/>
  <conditionalFormatting sqref="B5:B21">
    <cfRule type="containsText" dxfId="8" priority="1" operator="containsText" text="P0"/>
    <cfRule type="containsText" dxfId="7" priority="2" operator="containsText" text="P1"/>
    <cfRule type="containsText" dxfId="6" priority="3" operator="containsText" text="P2"/>
    <cfRule type="containsText" dxfId="5" priority="4" operator="containsText" text="P3"/>
  </conditionalFormatting>
  <conditionalFormatting sqref="H5:H21">
    <cfRule type="containsText" dxfId="4" priority="5" operator="containsText" text="已完成"/>
    <cfRule type="containsText" dxfId="3" priority="6" operator="containsText" text="处理中"/>
  </conditionalFormatting>
  <dataValidations count="2">
    <dataValidation type="list" sqref="H5:H21" xr:uid="{00000000-0002-0000-0100-000000000000}">
      <formula1>"待处理,处理中,已完成,暂不处理"</formula1>
    </dataValidation>
    <dataValidation type="list" sqref="B5:B21" xr:uid="{00000000-0002-0000-0100-000001000000}">
      <formula1>"P0,P1,P2,P3"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topLeftCell="A2" workbookViewId="0">
      <selection sqref="A1:D1"/>
    </sheetView>
  </sheetViews>
  <sheetFormatPr defaultRowHeight="14"/>
  <cols>
    <col min="1" max="1" width="24" customWidth="1"/>
    <col min="2" max="2" width="16" customWidth="1"/>
    <col min="3" max="3" width="18" customWidth="1"/>
    <col min="4" max="4" width="70" customWidth="1"/>
  </cols>
  <sheetData>
    <row r="1" spans="1:4" ht="34" customHeight="1">
      <c r="A1" s="27" t="s">
        <v>127</v>
      </c>
      <c r="B1" s="27" t="s">
        <v>127</v>
      </c>
      <c r="C1" s="27" t="s">
        <v>127</v>
      </c>
      <c r="D1" s="27" t="s">
        <v>127</v>
      </c>
    </row>
    <row r="3" spans="1:4" ht="34" customHeight="1">
      <c r="A3" s="2" t="s">
        <v>128</v>
      </c>
      <c r="B3" s="2" t="s">
        <v>129</v>
      </c>
      <c r="C3" s="2" t="s">
        <v>130</v>
      </c>
      <c r="D3" s="2" t="s">
        <v>10</v>
      </c>
    </row>
    <row r="4" spans="1:4" ht="34" customHeight="1">
      <c r="A4" s="17" t="s">
        <v>131</v>
      </c>
      <c r="B4" s="17" t="s">
        <v>132</v>
      </c>
      <c r="C4" s="17" t="s">
        <v>133</v>
      </c>
      <c r="D4" s="17" t="s">
        <v>134</v>
      </c>
    </row>
    <row r="5" spans="1:4" ht="34" customHeight="1">
      <c r="A5" s="18" t="s">
        <v>135</v>
      </c>
      <c r="B5" s="18" t="s">
        <v>136</v>
      </c>
      <c r="C5" s="18">
        <v>607</v>
      </c>
      <c r="D5" s="18" t="s">
        <v>137</v>
      </c>
    </row>
    <row r="6" spans="1:4" ht="34" customHeight="1">
      <c r="A6" s="18" t="s">
        <v>138</v>
      </c>
      <c r="B6" s="18" t="s">
        <v>139</v>
      </c>
      <c r="C6" s="18">
        <v>611</v>
      </c>
      <c r="D6" s="18" t="s">
        <v>140</v>
      </c>
    </row>
    <row r="7" spans="1:4" ht="34" customHeight="1">
      <c r="A7" s="18" t="s">
        <v>141</v>
      </c>
      <c r="B7" s="18" t="s">
        <v>136</v>
      </c>
      <c r="C7" s="18">
        <v>35</v>
      </c>
      <c r="D7" s="18" t="s">
        <v>142</v>
      </c>
    </row>
    <row r="8" spans="1:4" ht="34" customHeight="1">
      <c r="A8" s="18" t="s">
        <v>143</v>
      </c>
      <c r="B8" s="18" t="s">
        <v>144</v>
      </c>
      <c r="C8" s="18">
        <v>0</v>
      </c>
      <c r="D8" s="18" t="s">
        <v>145</v>
      </c>
    </row>
    <row r="9" spans="1:4" ht="34" customHeight="1">
      <c r="A9" s="18" t="s">
        <v>146</v>
      </c>
      <c r="B9" s="18" t="s">
        <v>144</v>
      </c>
      <c r="C9" s="18">
        <v>0</v>
      </c>
      <c r="D9" s="18" t="s">
        <v>147</v>
      </c>
    </row>
    <row r="10" spans="1:4" ht="34" customHeight="1">
      <c r="A10" s="19" t="s">
        <v>148</v>
      </c>
      <c r="B10" s="19" t="s">
        <v>149</v>
      </c>
      <c r="C10" s="19" t="s">
        <v>150</v>
      </c>
      <c r="D10" s="19" t="s">
        <v>151</v>
      </c>
    </row>
  </sheetData>
  <mergeCells count="1">
    <mergeCell ref="A1:D1"/>
  </mergeCells>
  <phoneticPr fontId="12" type="noConversion"/>
  <conditionalFormatting sqref="B4:B10">
    <cfRule type="containsText" dxfId="2" priority="1" operator="containsText" text="通过"/>
    <cfRule type="containsText" dxfId="1" priority="2" operator="containsText" text="缺失"/>
    <cfRule type="containsText" dxfId="0" priority="3" operator="containsText" text="需整改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审查摘要</vt:lpstr>
      <vt:lpstr>问题清单</vt:lpstr>
      <vt:lpstr>验证记录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Brown Yang</cp:lastModifiedBy>
  <dcterms:modified xsi:type="dcterms:W3CDTF">2026-08-12T14:19:33Z</dcterms:modified>
</cp:coreProperties>
</file>